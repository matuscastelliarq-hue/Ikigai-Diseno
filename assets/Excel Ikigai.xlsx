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e63983bb326ea5/Escritorio/LANZAMIENTO/Prueba/"/>
    </mc:Choice>
  </mc:AlternateContent>
  <xr:revisionPtr revIDLastSave="43" documentId="13_ncr:1_{C9887DDD-66B8-4AA1-8CC9-C0D5D04B0CB7}" xr6:coauthVersionLast="47" xr6:coauthVersionMax="47" xr10:uidLastSave="{820E2254-E35F-4267-BEA9-A73AFFA91E6E}"/>
  <bookViews>
    <workbookView xWindow="-120" yWindow="-120" windowWidth="29040" windowHeight="15720" xr2:uid="{EA51ABCF-A187-44C4-ABBF-9782CA44A1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0" i="1" l="1"/>
  <c r="N20" i="1"/>
  <c r="O20" i="1"/>
  <c r="P20" i="1"/>
  <c r="Q20" i="1" s="1"/>
  <c r="N11" i="1"/>
  <c r="O11" i="1"/>
  <c r="N10" i="1"/>
  <c r="O10" i="1"/>
  <c r="N9" i="1"/>
  <c r="O9" i="1"/>
  <c r="N8" i="1"/>
  <c r="O8" i="1"/>
  <c r="E11" i="1"/>
  <c r="L11" i="1" s="1"/>
  <c r="E10" i="1"/>
  <c r="L10" i="1" s="1"/>
  <c r="E9" i="1"/>
  <c r="L9" i="1" s="1"/>
  <c r="E8" i="1"/>
  <c r="L8" i="1" s="1"/>
  <c r="E3" i="1"/>
  <c r="L3" i="1" s="1"/>
  <c r="P10" i="1" l="1"/>
  <c r="Q10" i="1" s="1"/>
  <c r="P8" i="1"/>
  <c r="Q8" i="1" s="1"/>
  <c r="P9" i="1"/>
  <c r="Q9" i="1" s="1"/>
  <c r="P11" i="1"/>
  <c r="Q11" i="1" s="1"/>
  <c r="N26" i="1"/>
  <c r="O23" i="1"/>
  <c r="O24" i="1"/>
  <c r="O25" i="1"/>
  <c r="O26" i="1"/>
  <c r="O22" i="1"/>
  <c r="E26" i="1"/>
  <c r="L26" i="1" s="1"/>
  <c r="N17" i="1"/>
  <c r="O17" i="1"/>
  <c r="E17" i="1"/>
  <c r="L17" i="1" s="1"/>
  <c r="E16" i="1"/>
  <c r="L16" i="1" s="1"/>
  <c r="O19" i="1"/>
  <c r="O21" i="1"/>
  <c r="O14" i="1"/>
  <c r="O15" i="1"/>
  <c r="O16" i="1"/>
  <c r="O13" i="1"/>
  <c r="O4" i="1"/>
  <c r="O5" i="1"/>
  <c r="O6" i="1"/>
  <c r="O7" i="1"/>
  <c r="O3" i="1"/>
  <c r="N14" i="1"/>
  <c r="N15" i="1"/>
  <c r="N16" i="1"/>
  <c r="N13" i="1"/>
  <c r="E15" i="1"/>
  <c r="L15" i="1" s="1"/>
  <c r="E14" i="1"/>
  <c r="L14" i="1" s="1"/>
  <c r="E13" i="1"/>
  <c r="L13" i="1" s="1"/>
  <c r="N4" i="1"/>
  <c r="N5" i="1"/>
  <c r="N6" i="1"/>
  <c r="N7" i="1"/>
  <c r="N22" i="1"/>
  <c r="N23" i="1"/>
  <c r="N25" i="1"/>
  <c r="N19" i="1"/>
  <c r="N21" i="1"/>
  <c r="N3" i="1"/>
  <c r="L21" i="1"/>
  <c r="L19" i="1"/>
  <c r="E23" i="1"/>
  <c r="L23" i="1" s="1"/>
  <c r="E25" i="1"/>
  <c r="L25" i="1" s="1"/>
  <c r="E22" i="1"/>
  <c r="L22" i="1" s="1"/>
  <c r="E7" i="1"/>
  <c r="L7" i="1" s="1"/>
  <c r="E6" i="1"/>
  <c r="L6" i="1" s="1"/>
  <c r="E5" i="1"/>
  <c r="L5" i="1" s="1"/>
  <c r="E4" i="1"/>
  <c r="L4" i="1" s="1"/>
  <c r="P22" i="1" l="1"/>
  <c r="Q22" i="1" s="1"/>
  <c r="P25" i="1"/>
  <c r="Q25" i="1" s="1"/>
  <c r="P23" i="1"/>
  <c r="Q23" i="1" s="1"/>
  <c r="P26" i="1"/>
  <c r="Q26" i="1" s="1"/>
  <c r="P3" i="1"/>
  <c r="Q3" i="1" s="1"/>
  <c r="P17" i="1"/>
  <c r="Q17" i="1" s="1"/>
  <c r="P19" i="1"/>
  <c r="Q19" i="1" s="1"/>
  <c r="P4" i="1"/>
  <c r="Q4" i="1" s="1"/>
  <c r="P7" i="1"/>
  <c r="Q7" i="1" s="1"/>
  <c r="P14" i="1"/>
  <c r="Q14" i="1" s="1"/>
  <c r="P13" i="1"/>
  <c r="Q13" i="1" s="1"/>
  <c r="P15" i="1"/>
  <c r="Q15" i="1" s="1"/>
  <c r="P16" i="1"/>
  <c r="Q16" i="1" s="1"/>
  <c r="P21" i="1"/>
  <c r="Q21" i="1" s="1"/>
  <c r="P5" i="1" l="1"/>
  <c r="Q5" i="1" s="1"/>
  <c r="P6" i="1"/>
  <c r="Q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Gonzalo Matus</author>
  </authors>
  <commentList>
    <comment ref="I2" authorId="0" shapeId="0" xr:uid="{6B1D1D79-9D55-49FC-8B66-E4E4943FB749}">
      <text>
        <r>
          <rPr>
            <b/>
            <sz val="9"/>
            <color indexed="81"/>
            <rFont val="Tahoma"/>
            <family val="2"/>
          </rPr>
          <t>Gonzalo Matus:</t>
        </r>
        <r>
          <rPr>
            <sz val="9"/>
            <color indexed="81"/>
            <rFont val="Tahoma"/>
            <family val="2"/>
          </rPr>
          <t xml:space="preserve">
Barniz, tornillos,colafría,embalaje, desgaste máquinas</t>
        </r>
      </text>
    </comment>
    <comment ref="R2" authorId="0" shapeId="0" xr:uid="{ADDCDC33-7325-4523-A971-8ECC869D6C0F}">
      <text>
        <r>
          <rPr>
            <b/>
            <sz val="9"/>
            <color indexed="81"/>
            <rFont val="Tahoma"/>
            <family val="2"/>
          </rPr>
          <t>Gonzalo Matus:</t>
        </r>
        <r>
          <rPr>
            <sz val="9"/>
            <color indexed="81"/>
            <rFont val="Tahoma"/>
            <family val="2"/>
          </rPr>
          <t xml:space="preserve">
Dominio internet anual, impuesto a la renta anual, Publicidad ig, mantención maquinaria</t>
        </r>
      </text>
    </comment>
    <comment ref="F3" authorId="0" shapeId="0" xr:uid="{C4C3BAF7-DD73-41ED-A68B-E9E161AC92E0}">
      <text>
        <r>
          <rPr>
            <b/>
            <sz val="9"/>
            <color indexed="81"/>
            <rFont val="Tahoma"/>
            <family val="2"/>
          </rPr>
          <t>Gonzalo Matus:</t>
        </r>
        <r>
          <rPr>
            <sz val="9"/>
            <color indexed="81"/>
            <rFont val="Tahoma"/>
            <family val="2"/>
          </rPr>
          <t xml:space="preserve">
Precio retiro, dimensionado y despacho de Ferranova</t>
        </r>
      </text>
    </comment>
    <comment ref="G3" authorId="0" shapeId="0" xr:uid="{DAE9EEFA-3DF6-414A-B11A-598CC25E14F9}">
      <text>
        <r>
          <rPr>
            <sz val="9"/>
            <color indexed="81"/>
            <rFont val="Tahoma"/>
            <family val="2"/>
          </rPr>
          <t>+ 2,5 perfiles tubulares 1" 2mm ($30.000) + 8 abrazaderas collarín ($20.000) + 4 abrazadaderas cruzadas ($6.474) + 2 pares de bisagras cazoleta recta ($4.000)</t>
        </r>
      </text>
    </comment>
    <comment ref="G4" authorId="0" shapeId="0" xr:uid="{557475C6-35DA-49F0-8025-24F159973147}">
      <text>
        <r>
          <rPr>
            <b/>
            <sz val="9"/>
            <color indexed="81"/>
            <rFont val="Tahoma"/>
            <family val="2"/>
          </rPr>
          <t>Gonzalo Matus:</t>
        </r>
        <r>
          <rPr>
            <sz val="9"/>
            <color indexed="81"/>
            <rFont val="Tahoma"/>
            <family val="2"/>
          </rPr>
          <t xml:space="preserve">
Costo aprox* cojín a medida + cojines verticales</t>
        </r>
      </text>
    </comment>
    <comment ref="G5" authorId="0" shapeId="0" xr:uid="{94802953-568D-4F41-BFC3-974063DA0C72}">
      <text>
        <r>
          <rPr>
            <b/>
            <sz val="9"/>
            <color indexed="81"/>
            <rFont val="Tahoma"/>
            <family val="2"/>
          </rPr>
          <t>Gonzalo Matus:</t>
        </r>
        <r>
          <rPr>
            <sz val="9"/>
            <color indexed="81"/>
            <rFont val="Tahoma"/>
            <family val="2"/>
          </rPr>
          <t xml:space="preserve">
Costo aprox* cojín a medida + cojines verticales</t>
        </r>
      </text>
    </comment>
    <comment ref="G9" authorId="0" shapeId="0" xr:uid="{F6568E0E-C690-48B6-849B-48D0052492B6}">
      <text>
        <r>
          <rPr>
            <b/>
            <sz val="9"/>
            <color indexed="81"/>
            <rFont val="Tahoma"/>
            <family val="2"/>
          </rPr>
          <t>Gonzalo Matus:</t>
        </r>
        <r>
          <rPr>
            <sz val="9"/>
            <color indexed="81"/>
            <rFont val="Tahoma"/>
            <family val="2"/>
          </rPr>
          <t xml:space="preserve">
Costo aprox* vidrio templado 180x120 4mm espesor</t>
        </r>
      </text>
    </comment>
    <comment ref="G11" authorId="0" shapeId="0" xr:uid="{9445E533-C241-4B48-8F19-120CC4A5FD2B}">
      <text>
        <r>
          <rPr>
            <b/>
            <sz val="9"/>
            <color indexed="81"/>
            <rFont val="Tahoma"/>
            <family val="2"/>
          </rPr>
          <t>Gonzalo Matus:</t>
        </r>
        <r>
          <rPr>
            <sz val="9"/>
            <color indexed="81"/>
            <rFont val="Tahoma"/>
            <family val="2"/>
          </rPr>
          <t xml:space="preserve">
+ terciado 18mm tapas y cajón + terciado 9mm fondo + set de rieles 25mm</t>
        </r>
      </text>
    </comment>
    <comment ref="G14" authorId="0" shapeId="0" xr:uid="{0F41983D-D4EE-4F1F-A973-42DB39172A02}">
      <text>
        <r>
          <rPr>
            <b/>
            <sz val="9"/>
            <color indexed="81"/>
            <rFont val="Tahoma"/>
            <charset val="1"/>
          </rPr>
          <t>Gonzalo Matus:</t>
        </r>
        <r>
          <rPr>
            <sz val="9"/>
            <color indexed="81"/>
            <rFont val="Tahoma"/>
            <charset val="1"/>
          </rPr>
          <t xml:space="preserve">
Barra de madera 30mm + clips uniones (1.000 c/U)</t>
        </r>
      </text>
    </comment>
    <comment ref="G15" authorId="0" shapeId="0" xr:uid="{58C8FE98-717F-4CFE-A7EE-A9F56FA42BA9}">
      <text>
        <r>
          <rPr>
            <b/>
            <sz val="9"/>
            <color indexed="81"/>
            <rFont val="Tahoma"/>
            <charset val="1"/>
          </rPr>
          <t>Gonzalo Matus:</t>
        </r>
        <r>
          <rPr>
            <sz val="9"/>
            <color indexed="81"/>
            <rFont val="Tahoma"/>
            <charset val="1"/>
          </rPr>
          <t xml:space="preserve">
Precio 2 eslingas Easy</t>
        </r>
      </text>
    </comment>
    <comment ref="G16" authorId="0" shapeId="0" xr:uid="{2E57B5AB-0625-4163-8A83-CEDA46AB8435}">
      <text>
        <r>
          <rPr>
            <b/>
            <sz val="9"/>
            <color indexed="81"/>
            <rFont val="Tahoma"/>
            <family val="2"/>
          </rPr>
          <t>Gonzalo Matus:</t>
        </r>
        <r>
          <rPr>
            <sz val="9"/>
            <color indexed="81"/>
            <rFont val="Tahoma"/>
            <family val="2"/>
          </rPr>
          <t xml:space="preserve">
Precio correa hebilla aprox + clips uniones (1.000 c/U)</t>
        </r>
      </text>
    </comment>
    <comment ref="G19" authorId="0" shapeId="0" xr:uid="{A3BE1E6C-4DAA-4070-885B-A3C2144ADBBF}">
      <text>
        <r>
          <rPr>
            <b/>
            <sz val="9"/>
            <color indexed="81"/>
            <rFont val="Tahoma"/>
            <family val="2"/>
          </rPr>
          <t>Gonzalo Matus:</t>
        </r>
        <r>
          <rPr>
            <sz val="9"/>
            <color indexed="81"/>
            <rFont val="Tahoma"/>
            <family val="2"/>
          </rPr>
          <t xml:space="preserve">
Set de 4 patas Hairpin 70cm acero negro Mercadolibre</t>
        </r>
      </text>
    </comment>
    <comment ref="G20" authorId="0" shapeId="0" xr:uid="{DDBE46B9-CC21-4231-BEEA-65F41EB066F8}">
      <text>
        <r>
          <rPr>
            <b/>
            <sz val="9"/>
            <color indexed="81"/>
            <rFont val="Tahoma"/>
            <family val="2"/>
          </rPr>
          <t>Gonzalo Matus:</t>
        </r>
        <r>
          <rPr>
            <sz val="9"/>
            <color indexed="81"/>
            <rFont val="Tahoma"/>
            <family val="2"/>
          </rPr>
          <t xml:space="preserve">
Set de 3 patas Hairpin 30cm acero negro Mercadolibre</t>
        </r>
      </text>
    </comment>
    <comment ref="G21" authorId="0" shapeId="0" xr:uid="{9AB25886-0EFB-4961-85B2-ABACCF6B5BFD}">
      <text>
        <r>
          <rPr>
            <b/>
            <sz val="9"/>
            <color indexed="81"/>
            <rFont val="Tahoma"/>
            <family val="2"/>
          </rPr>
          <t>Gonzalo Matus:</t>
        </r>
        <r>
          <rPr>
            <sz val="9"/>
            <color indexed="81"/>
            <rFont val="Tahoma"/>
            <family val="2"/>
          </rPr>
          <t xml:space="preserve">
Set de 3 patas Hairpin 40cm acero negro Mercadolibre</t>
        </r>
      </text>
    </comment>
    <comment ref="F22" authorId="0" shapeId="0" xr:uid="{8374224B-E35A-4BD7-932E-8DB2C19A794B}">
      <text>
        <r>
          <rPr>
            <b/>
            <sz val="9"/>
            <color indexed="81"/>
            <rFont val="Tahoma"/>
            <family val="2"/>
          </rPr>
          <t>Gonzalo Matus:</t>
        </r>
        <r>
          <rPr>
            <sz val="9"/>
            <color indexed="81"/>
            <rFont val="Tahoma"/>
            <family val="2"/>
          </rPr>
          <t xml:space="preserve">
Despacho de La Cañada + IVA</t>
        </r>
      </text>
    </comment>
    <comment ref="G22" authorId="0" shapeId="0" xr:uid="{270F7923-6038-4BA6-B824-84E4F1D990B3}">
      <text>
        <r>
          <rPr>
            <b/>
            <sz val="9"/>
            <color indexed="81"/>
            <rFont val="Tahoma"/>
            <family val="2"/>
          </rPr>
          <t>Gonzalo Matus:</t>
        </r>
        <r>
          <rPr>
            <sz val="9"/>
            <color indexed="81"/>
            <rFont val="Tahoma"/>
            <family val="2"/>
          </rPr>
          <t xml:space="preserve">
Costo aprox* materiales y mano de obra base metálica</t>
        </r>
      </text>
    </comment>
    <comment ref="F23" authorId="0" shapeId="0" xr:uid="{764A8E10-6814-475F-B3D9-202FB8A146AB}">
      <text>
        <r>
          <rPr>
            <b/>
            <sz val="9"/>
            <color indexed="81"/>
            <rFont val="Tahoma"/>
            <family val="2"/>
          </rPr>
          <t>Gonzalo Matus:</t>
        </r>
        <r>
          <rPr>
            <sz val="9"/>
            <color indexed="81"/>
            <rFont val="Tahoma"/>
            <family val="2"/>
          </rPr>
          <t xml:space="preserve">
Despacho de materiales imperial</t>
        </r>
      </text>
    </comment>
    <comment ref="G23" authorId="0" shapeId="0" xr:uid="{5869FE84-1C50-4D87-B3E6-1713E8EA26C3}">
      <text>
        <r>
          <rPr>
            <b/>
            <sz val="9"/>
            <color indexed="81"/>
            <rFont val="Tahoma"/>
            <family val="2"/>
          </rPr>
          <t>Gonzalo Matus:</t>
        </r>
        <r>
          <rPr>
            <sz val="9"/>
            <color indexed="81"/>
            <rFont val="Tahoma"/>
            <family val="2"/>
          </rPr>
          <t xml:space="preserve">
Costo aprox* vidrio templado 180x120 4mm espesor</t>
        </r>
      </text>
    </comment>
    <comment ref="G25" authorId="0" shapeId="0" xr:uid="{97FE08D6-1CED-48D4-8893-FFD6043E6969}">
      <text>
        <r>
          <rPr>
            <b/>
            <sz val="9"/>
            <color indexed="81"/>
            <rFont val="Tahoma"/>
            <family val="2"/>
          </rPr>
          <t>Gonzalo Matus:</t>
        </r>
        <r>
          <rPr>
            <sz val="9"/>
            <color indexed="81"/>
            <rFont val="Tahoma"/>
            <family val="2"/>
          </rPr>
          <t xml:space="preserve">
Costo aprox* cojín a medida 46,4x40,7</t>
        </r>
      </text>
    </comment>
  </commentList>
</comments>
</file>

<file path=xl/sharedStrings.xml><?xml version="1.0" encoding="utf-8"?>
<sst xmlns="http://schemas.openxmlformats.org/spreadsheetml/2006/main" count="92" uniqueCount="86">
  <si>
    <t>Rack ZEN</t>
  </si>
  <si>
    <t xml:space="preserve">Mesa ZEN </t>
  </si>
  <si>
    <t>Banqueta ZEN</t>
  </si>
  <si>
    <t>Nombre</t>
  </si>
  <si>
    <t>Medidas (cm)</t>
  </si>
  <si>
    <t>Despacho final</t>
  </si>
  <si>
    <t>Precio bruto</t>
  </si>
  <si>
    <t>Costo tableros</t>
  </si>
  <si>
    <t>Precio Tablero Kiri</t>
  </si>
  <si>
    <t>Muebles IKIGAI</t>
  </si>
  <si>
    <t>20mm</t>
  </si>
  <si>
    <t>30mm</t>
  </si>
  <si>
    <t>0,5 c/u</t>
  </si>
  <si>
    <t>Terciado</t>
  </si>
  <si>
    <t>18mm</t>
  </si>
  <si>
    <t>Costo ensamble /
mano de obra</t>
  </si>
  <si>
    <t>Repisa T</t>
  </si>
  <si>
    <t>Silla Yakuza</t>
  </si>
  <si>
    <r>
      <t>Cantidad de tableros
(</t>
    </r>
    <r>
      <rPr>
        <b/>
        <sz val="11"/>
        <color theme="4"/>
        <rFont val="Calibri"/>
        <family val="2"/>
        <scheme val="minor"/>
      </rPr>
      <t>Terciado 18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theme="9"/>
        <rFont val="Calibri"/>
        <family val="2"/>
        <scheme val="minor"/>
      </rPr>
      <t>Kiri 20</t>
    </r>
    <r>
      <rPr>
        <b/>
        <sz val="11"/>
        <color theme="1"/>
        <rFont val="Calibri"/>
        <family val="2"/>
        <scheme val="minor"/>
      </rPr>
      <t xml:space="preserve"> o </t>
    </r>
    <r>
      <rPr>
        <b/>
        <sz val="11"/>
        <color theme="5"/>
        <rFont val="Calibri"/>
        <family val="2"/>
        <scheme val="minor"/>
      </rPr>
      <t>30</t>
    </r>
    <r>
      <rPr>
        <b/>
        <sz val="11"/>
        <color theme="1"/>
        <rFont val="Calibri"/>
        <family val="2"/>
        <scheme val="minor"/>
      </rPr>
      <t>)</t>
    </r>
  </si>
  <si>
    <t>-</t>
  </si>
  <si>
    <t>Pino cepillado 4x4"</t>
  </si>
  <si>
    <t>La Cañada</t>
  </si>
  <si>
    <t>Imperial</t>
  </si>
  <si>
    <t>Pino cepillado 1x4"</t>
  </si>
  <si>
    <t>CNC + despacho</t>
  </si>
  <si>
    <t>Otros</t>
  </si>
  <si>
    <t>Mesa NET</t>
  </si>
  <si>
    <t>Línea 
ZEN</t>
  </si>
  <si>
    <t>Lámpara de escritorio</t>
  </si>
  <si>
    <t>Florero / Luz</t>
  </si>
  <si>
    <t>Macet / Port. Mac</t>
  </si>
  <si>
    <t>Cuadros</t>
  </si>
  <si>
    <t>Marcapáginas</t>
  </si>
  <si>
    <t>Set posavasos</t>
  </si>
  <si>
    <t>Figura gatos</t>
  </si>
  <si>
    <t>Línea 
Iluminación Y Deco</t>
  </si>
  <si>
    <t>Precio 
Neto/Venta</t>
  </si>
  <si>
    <t>IVA</t>
  </si>
  <si>
    <t>%</t>
  </si>
  <si>
    <t>Margen por ejemplar</t>
  </si>
  <si>
    <t>Sueldo / utilidad</t>
  </si>
  <si>
    <t>Packaging</t>
  </si>
  <si>
    <t>Recibidor Jiraffe</t>
  </si>
  <si>
    <t>Línea 
CNC</t>
  </si>
  <si>
    <t>Costo dim. O CNC
(+ retiro y despacho)</t>
  </si>
  <si>
    <t>0$</t>
  </si>
  <si>
    <t>Comisión e-com. 4%</t>
  </si>
  <si>
    <t>Costos admin y mantención</t>
  </si>
  <si>
    <t>Materiales</t>
  </si>
  <si>
    <t>Escritorio Eslinga</t>
  </si>
  <si>
    <t>Banco Eslinga</t>
  </si>
  <si>
    <t>Piso Eslinga</t>
  </si>
  <si>
    <t>Banqueta V</t>
  </si>
  <si>
    <t>Pino finger 18mm</t>
  </si>
  <si>
    <t>Sillón ZEN 2 cuerpos</t>
  </si>
  <si>
    <t>Sillón ZEN 1 cuerpo</t>
  </si>
  <si>
    <t xml:space="preserve">Arrimo ZEN </t>
  </si>
  <si>
    <t>Mesa X</t>
  </si>
  <si>
    <t>Mesa OVAL</t>
  </si>
  <si>
    <t>Velador ZEN</t>
  </si>
  <si>
    <t>Repisa NET</t>
  </si>
  <si>
    <t>Línea 
CONTEMPORÁNEO</t>
  </si>
  <si>
    <t>Arrimo RAW</t>
  </si>
  <si>
    <t>Mesa lateral RAW</t>
  </si>
  <si>
    <t>Mesa RAW</t>
  </si>
  <si>
    <t>200 x 62 x a52</t>
  </si>
  <si>
    <t>200 x 38 x a200</t>
  </si>
  <si>
    <t>80 x 62 x a52</t>
  </si>
  <si>
    <t>120 x 40 x a30</t>
  </si>
  <si>
    <t>120 x 80 x a20</t>
  </si>
  <si>
    <t>120 x 40 x a75</t>
  </si>
  <si>
    <t>100 x 60 x a30</t>
  </si>
  <si>
    <t>110 x 90 x a25</t>
  </si>
  <si>
    <t>45 x 35 x a55</t>
  </si>
  <si>
    <t>118 x 38 x a190</t>
  </si>
  <si>
    <t>90 x 58 x a190</t>
  </si>
  <si>
    <t>120 x 60 x a75</t>
  </si>
  <si>
    <t>38 x 38 x a45</t>
  </si>
  <si>
    <t>80 x 38 x a45</t>
  </si>
  <si>
    <t>120 x 45 x a75</t>
  </si>
  <si>
    <t>D45cm y a45</t>
  </si>
  <si>
    <t>D70 y a30</t>
  </si>
  <si>
    <t>75 x 34 x a190</t>
  </si>
  <si>
    <t>120 x 80 x a30</t>
  </si>
  <si>
    <t>66,2 x 54 x a75</t>
  </si>
  <si>
    <t>120 x 38 x a45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</si>
</sst>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&quot;$&quot;\-#,##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4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6" fontId="0" fillId="0" borderId="0" xfId="0" applyNumberFormat="1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/>
    <xf numFmtId="6" fontId="10" fillId="0" borderId="0" xfId="0" applyNumberFormat="1" applyFont="1"/>
    <xf numFmtId="0" fontId="4" fillId="0" borderId="0" xfId="0" applyFont="1"/>
    <xf numFmtId="6" fontId="4" fillId="0" borderId="0" xfId="0" applyNumberFormat="1" applyFont="1"/>
    <xf numFmtId="0" fontId="9" fillId="0" borderId="0" xfId="0" applyFont="1"/>
    <xf numFmtId="6" fontId="9" fillId="0" borderId="0" xfId="0" applyNumberFormat="1" applyFont="1"/>
    <xf numFmtId="0" fontId="0" fillId="0" borderId="0" xfId="0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6" fontId="0" fillId="0" borderId="0" xfId="0" applyNumberFormat="1" applyBorder="1" applyAlignment="1">
      <alignment horizontal="center" vertical="center"/>
    </xf>
    <xf numFmtId="6" fontId="0" fillId="2" borderId="0" xfId="0" applyNumberFormat="1" applyFill="1" applyBorder="1" applyAlignment="1">
      <alignment horizontal="center" vertical="center"/>
    </xf>
    <xf numFmtId="6" fontId="1" fillId="0" borderId="0" xfId="0" applyNumberFormat="1" applyFont="1" applyBorder="1" applyAlignment="1">
      <alignment horizontal="center" vertical="center"/>
    </xf>
    <xf numFmtId="6" fontId="3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0" fillId="0" borderId="5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6" fontId="13" fillId="0" borderId="0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9" fontId="3" fillId="0" borderId="0" xfId="0" applyNumberFormat="1" applyFont="1" applyBorder="1" applyAlignment="1">
      <alignment horizontal="center" vertical="center"/>
    </xf>
    <xf numFmtId="0" fontId="0" fillId="0" borderId="0" xfId="0" applyFill="1" applyBorder="1"/>
    <xf numFmtId="6" fontId="0" fillId="0" borderId="0" xfId="0" applyNumberFormat="1" applyAlignment="1">
      <alignment horizontal="center" vertical="center"/>
    </xf>
    <xf numFmtId="6" fontId="1" fillId="0" borderId="0" xfId="0" applyNumberFormat="1" applyFont="1" applyAlignment="1">
      <alignment horizontal="center" vertical="center"/>
    </xf>
    <xf numFmtId="6" fontId="0" fillId="2" borderId="0" xfId="0" applyNumberFormat="1" applyFill="1" applyAlignment="1">
      <alignment horizontal="center" vertical="center"/>
    </xf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6" fontId="0" fillId="0" borderId="4" xfId="0" applyNumberFormat="1" applyBorder="1" applyAlignment="1">
      <alignment horizontal="center" vertical="center"/>
    </xf>
    <xf numFmtId="6" fontId="0" fillId="2" borderId="4" xfId="0" applyNumberFormat="1" applyFill="1" applyBorder="1" applyAlignment="1">
      <alignment horizontal="center" vertical="center"/>
    </xf>
    <xf numFmtId="6" fontId="1" fillId="0" borderId="4" xfId="0" applyNumberFormat="1" applyFont="1" applyBorder="1" applyAlignment="1">
      <alignment horizontal="center" vertical="center"/>
    </xf>
    <xf numFmtId="6" fontId="13" fillId="0" borderId="4" xfId="0" applyNumberFormat="1" applyFont="1" applyBorder="1" applyAlignment="1">
      <alignment horizontal="center" vertical="center"/>
    </xf>
    <xf numFmtId="6" fontId="3" fillId="0" borderId="4" xfId="0" applyNumberFormat="1" applyFont="1" applyBorder="1" applyAlignment="1">
      <alignment horizontal="center" vertical="center"/>
    </xf>
    <xf numFmtId="9" fontId="3" fillId="0" borderId="4" xfId="0" applyNumberFormat="1" applyFont="1" applyBorder="1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6" fontId="13" fillId="0" borderId="10" xfId="0" applyNumberFormat="1" applyFont="1" applyBorder="1" applyAlignment="1">
      <alignment horizontal="center" vertical="center"/>
    </xf>
    <xf numFmtId="6" fontId="3" fillId="0" borderId="10" xfId="0" applyNumberFormat="1" applyFont="1" applyBorder="1" applyAlignment="1">
      <alignment horizontal="center" vertical="center"/>
    </xf>
    <xf numFmtId="9" fontId="3" fillId="0" borderId="10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6" fontId="17" fillId="2" borderId="0" xfId="0" applyNumberFormat="1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4" xfId="0" applyFill="1" applyBorder="1"/>
    <xf numFmtId="0" fontId="0" fillId="0" borderId="13" xfId="0" applyBorder="1"/>
    <xf numFmtId="0" fontId="0" fillId="0" borderId="15" xfId="0" applyBorder="1"/>
    <xf numFmtId="6" fontId="17" fillId="2" borderId="0" xfId="0" applyNumberFormat="1" applyFont="1" applyFill="1" applyBorder="1" applyAlignment="1">
      <alignment horizontal="center" vertical="center"/>
    </xf>
    <xf numFmtId="6" fontId="0" fillId="0" borderId="0" xfId="0" applyNumberForma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textRotation="90" wrapText="1"/>
    </xf>
    <xf numFmtId="0" fontId="1" fillId="0" borderId="0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vertical="center" textRotation="90" wrapText="1"/>
    </xf>
    <xf numFmtId="0" fontId="1" fillId="0" borderId="12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textRotation="90" wrapText="1"/>
    </xf>
    <xf numFmtId="0" fontId="1" fillId="0" borderId="9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5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E40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3D6B7-09BC-4197-BBED-32A1911D724B}">
  <dimension ref="A1:V34"/>
  <sheetViews>
    <sheetView tabSelected="1" zoomScaleNormal="100" workbookViewId="0">
      <selection activeCell="C20" sqref="C20"/>
    </sheetView>
  </sheetViews>
  <sheetFormatPr baseColWidth="10" defaultRowHeight="15" x14ac:dyDescent="0.25"/>
  <cols>
    <col min="1" max="1" width="6.42578125" customWidth="1"/>
    <col min="2" max="2" width="19.5703125" customWidth="1"/>
    <col min="3" max="3" width="17.28515625" style="2" customWidth="1"/>
    <col min="4" max="4" width="22.5703125" style="1" customWidth="1"/>
    <col min="5" max="5" width="14.42578125" style="2" customWidth="1"/>
    <col min="6" max="6" width="20.28515625" style="2" customWidth="1"/>
    <col min="7" max="7" width="11.28515625" style="2" customWidth="1"/>
    <col min="8" max="8" width="16.5703125" style="2" customWidth="1"/>
    <col min="9" max="9" width="12.42578125" style="2" customWidth="1"/>
    <col min="10" max="10" width="10.7109375" style="2" customWidth="1"/>
    <col min="11" max="11" width="14.5703125" style="2" customWidth="1"/>
    <col min="12" max="12" width="13.85546875" style="2" customWidth="1"/>
    <col min="13" max="13" width="15.85546875" style="2" customWidth="1"/>
    <col min="14" max="15" width="9.42578125" style="2" customWidth="1"/>
    <col min="16" max="16" width="14.42578125" style="5" customWidth="1"/>
    <col min="17" max="17" width="6.42578125" style="5" customWidth="1"/>
    <col min="18" max="18" width="9.7109375" customWidth="1"/>
    <col min="19" max="19" width="8.7109375" customWidth="1"/>
    <col min="20" max="20" width="7" customWidth="1"/>
    <col min="21" max="21" width="19" customWidth="1"/>
    <col min="22" max="22" width="11.28515625" customWidth="1"/>
  </cols>
  <sheetData>
    <row r="1" spans="1:22" ht="24.75" customHeight="1" x14ac:dyDescent="0.25">
      <c r="A1" s="75" t="s">
        <v>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</row>
    <row r="2" spans="1:22" ht="37.5" customHeight="1" x14ac:dyDescent="0.25">
      <c r="A2" s="24"/>
      <c r="B2" s="31" t="s">
        <v>3</v>
      </c>
      <c r="C2" s="31" t="s">
        <v>4</v>
      </c>
      <c r="D2" s="32" t="s">
        <v>18</v>
      </c>
      <c r="E2" s="33" t="s">
        <v>7</v>
      </c>
      <c r="F2" s="33" t="s">
        <v>44</v>
      </c>
      <c r="G2" s="33" t="s">
        <v>25</v>
      </c>
      <c r="H2" s="34" t="s">
        <v>15</v>
      </c>
      <c r="I2" s="33" t="s">
        <v>48</v>
      </c>
      <c r="J2" s="34" t="s">
        <v>41</v>
      </c>
      <c r="K2" s="35" t="s">
        <v>5</v>
      </c>
      <c r="L2" s="31" t="s">
        <v>6</v>
      </c>
      <c r="M2" s="33" t="s">
        <v>36</v>
      </c>
      <c r="N2" s="33" t="s">
        <v>37</v>
      </c>
      <c r="O2" s="64" t="s">
        <v>46</v>
      </c>
      <c r="P2" s="36" t="s">
        <v>39</v>
      </c>
      <c r="Q2" s="36" t="s">
        <v>38</v>
      </c>
      <c r="R2" s="37" t="s">
        <v>47</v>
      </c>
      <c r="S2" s="66" t="s">
        <v>40</v>
      </c>
      <c r="U2" s="4" t="s">
        <v>8</v>
      </c>
      <c r="V2" s="12" t="s">
        <v>21</v>
      </c>
    </row>
    <row r="3" spans="1:22" ht="15" customHeight="1" x14ac:dyDescent="0.25">
      <c r="A3" s="79" t="s">
        <v>27</v>
      </c>
      <c r="B3" s="14" t="s">
        <v>0</v>
      </c>
      <c r="C3" s="15" t="s">
        <v>66</v>
      </c>
      <c r="D3" s="22">
        <v>2</v>
      </c>
      <c r="E3" s="17">
        <f>(U6*D3)</f>
        <v>73980</v>
      </c>
      <c r="F3" s="17">
        <v>50000</v>
      </c>
      <c r="G3" s="17">
        <v>60474</v>
      </c>
      <c r="H3" s="18">
        <v>60000</v>
      </c>
      <c r="I3" s="17">
        <v>5000</v>
      </c>
      <c r="J3" s="18">
        <v>1000</v>
      </c>
      <c r="K3" s="18">
        <v>15000</v>
      </c>
      <c r="L3" s="19">
        <f>(E3+F3+G3+H3+I3+J3+K3)</f>
        <v>265454</v>
      </c>
      <c r="M3" s="19">
        <v>485000</v>
      </c>
      <c r="N3" s="38">
        <f>(M3*0.19)</f>
        <v>92150</v>
      </c>
      <c r="O3" s="38">
        <f>(M3*0.04)</f>
        <v>19400</v>
      </c>
      <c r="P3" s="20">
        <f>(M3)-(L3+N3+O3)</f>
        <v>107996</v>
      </c>
      <c r="Q3" s="41">
        <f>P3/(M3+N3)</f>
        <v>0.18711946634323834</v>
      </c>
      <c r="R3" s="47"/>
      <c r="S3" s="25"/>
      <c r="T3" s="8" t="s">
        <v>10</v>
      </c>
      <c r="U3" s="9">
        <v>47900</v>
      </c>
    </row>
    <row r="4" spans="1:22" x14ac:dyDescent="0.25">
      <c r="A4" s="80"/>
      <c r="B4" s="14" t="s">
        <v>54</v>
      </c>
      <c r="C4" s="15" t="s">
        <v>65</v>
      </c>
      <c r="D4" s="21">
        <v>1.5</v>
      </c>
      <c r="E4" s="17">
        <f>(U4*D4)</f>
        <v>112350</v>
      </c>
      <c r="F4" s="17">
        <v>47000</v>
      </c>
      <c r="G4" s="17">
        <v>70000</v>
      </c>
      <c r="H4" s="18">
        <v>30000</v>
      </c>
      <c r="I4" s="17">
        <v>5000</v>
      </c>
      <c r="J4" s="18">
        <v>1000</v>
      </c>
      <c r="K4" s="18">
        <v>15000</v>
      </c>
      <c r="L4" s="19">
        <f>(E4+F4+G4+H4+I4+J4+K4)</f>
        <v>280350</v>
      </c>
      <c r="M4" s="19">
        <v>475000</v>
      </c>
      <c r="N4" s="38">
        <f t="shared" ref="N4:N21" si="0">(M4*0.19)</f>
        <v>90250</v>
      </c>
      <c r="O4" s="38">
        <f t="shared" ref="O4:O11" si="1">(M4*0.04)</f>
        <v>19000</v>
      </c>
      <c r="P4" s="20">
        <f t="shared" ref="P4:P11" si="2">(M4)-(L4+N4+O4)</f>
        <v>85400</v>
      </c>
      <c r="Q4" s="41">
        <f t="shared" ref="Q4:Q21" si="3">P4/(M4+N4)</f>
        <v>0.15108359133126936</v>
      </c>
      <c r="R4" s="25"/>
      <c r="S4" s="25"/>
      <c r="T4" s="10" t="s">
        <v>11</v>
      </c>
      <c r="U4" s="11">
        <v>74900</v>
      </c>
    </row>
    <row r="5" spans="1:22" x14ac:dyDescent="0.25">
      <c r="A5" s="80"/>
      <c r="B5" s="14" t="s">
        <v>55</v>
      </c>
      <c r="C5" s="15" t="s">
        <v>67</v>
      </c>
      <c r="D5" s="21">
        <v>0.5</v>
      </c>
      <c r="E5" s="17">
        <f>(U4*D5)</f>
        <v>37450</v>
      </c>
      <c r="F5" s="17">
        <v>47000</v>
      </c>
      <c r="G5" s="17">
        <v>30000</v>
      </c>
      <c r="H5" s="18">
        <v>20000</v>
      </c>
      <c r="I5" s="17">
        <v>5000</v>
      </c>
      <c r="J5" s="18">
        <v>1000</v>
      </c>
      <c r="K5" s="18">
        <v>15000</v>
      </c>
      <c r="L5" s="19">
        <f t="shared" ref="L5:L11" si="4">(E5+F5+G5+H5+I5+J5+K5)</f>
        <v>155450</v>
      </c>
      <c r="M5" s="19">
        <v>250000</v>
      </c>
      <c r="N5" s="38">
        <f t="shared" si="0"/>
        <v>47500</v>
      </c>
      <c r="O5" s="38">
        <f t="shared" si="1"/>
        <v>10000</v>
      </c>
      <c r="P5" s="20">
        <f t="shared" si="2"/>
        <v>37050</v>
      </c>
      <c r="Q5" s="41">
        <f t="shared" si="3"/>
        <v>0.12453781512605042</v>
      </c>
      <c r="R5" s="25"/>
      <c r="S5" s="25"/>
      <c r="U5" s="4" t="s">
        <v>13</v>
      </c>
      <c r="V5" t="s">
        <v>21</v>
      </c>
    </row>
    <row r="6" spans="1:22" x14ac:dyDescent="0.25">
      <c r="A6" s="80"/>
      <c r="B6" s="14" t="s">
        <v>1</v>
      </c>
      <c r="C6" s="15" t="s">
        <v>69</v>
      </c>
      <c r="D6" s="21">
        <v>1</v>
      </c>
      <c r="E6" s="17">
        <f>(U4*D6)</f>
        <v>74900</v>
      </c>
      <c r="F6" s="17">
        <v>47000</v>
      </c>
      <c r="G6" s="17">
        <v>0</v>
      </c>
      <c r="H6" s="18">
        <v>20000</v>
      </c>
      <c r="I6" s="17">
        <v>5000</v>
      </c>
      <c r="J6" s="18">
        <v>1000</v>
      </c>
      <c r="K6" s="18">
        <v>15000</v>
      </c>
      <c r="L6" s="19">
        <f t="shared" si="4"/>
        <v>162900</v>
      </c>
      <c r="M6" s="19">
        <v>250000</v>
      </c>
      <c r="N6" s="38">
        <f t="shared" si="0"/>
        <v>47500</v>
      </c>
      <c r="O6" s="38">
        <f t="shared" si="1"/>
        <v>10000</v>
      </c>
      <c r="P6" s="20">
        <f t="shared" si="2"/>
        <v>29600</v>
      </c>
      <c r="Q6" s="41">
        <f t="shared" si="3"/>
        <v>9.9495798319327727E-2</v>
      </c>
      <c r="R6" s="25"/>
      <c r="S6" s="25"/>
      <c r="T6" s="6" t="s">
        <v>14</v>
      </c>
      <c r="U6" s="7">
        <v>36990</v>
      </c>
    </row>
    <row r="7" spans="1:22" x14ac:dyDescent="0.25">
      <c r="A7" s="80"/>
      <c r="B7" s="14" t="s">
        <v>2</v>
      </c>
      <c r="C7" s="15" t="s">
        <v>68</v>
      </c>
      <c r="D7" s="16" t="s">
        <v>12</v>
      </c>
      <c r="E7" s="17">
        <f>(U3+U4)/2</f>
        <v>61400</v>
      </c>
      <c r="F7" s="17">
        <v>47000</v>
      </c>
      <c r="G7" s="17">
        <v>0</v>
      </c>
      <c r="H7" s="18">
        <v>30000</v>
      </c>
      <c r="I7" s="17">
        <v>5000</v>
      </c>
      <c r="J7" s="18">
        <v>1000</v>
      </c>
      <c r="K7" s="18">
        <v>15000</v>
      </c>
      <c r="L7" s="19">
        <f t="shared" si="4"/>
        <v>159400</v>
      </c>
      <c r="M7" s="19">
        <v>225000</v>
      </c>
      <c r="N7" s="38">
        <f t="shared" si="0"/>
        <v>42750</v>
      </c>
      <c r="O7" s="38">
        <f t="shared" si="1"/>
        <v>9000</v>
      </c>
      <c r="P7" s="20">
        <f t="shared" si="2"/>
        <v>13850</v>
      </c>
      <c r="Q7" s="41">
        <f t="shared" si="3"/>
        <v>5.1727357609710548E-2</v>
      </c>
      <c r="R7" s="25"/>
      <c r="S7" s="68"/>
      <c r="U7" s="4" t="s">
        <v>20</v>
      </c>
      <c r="V7" t="s">
        <v>22</v>
      </c>
    </row>
    <row r="8" spans="1:22" x14ac:dyDescent="0.25">
      <c r="A8" s="80"/>
      <c r="B8" s="42" t="s">
        <v>56</v>
      </c>
      <c r="C8" s="15" t="s">
        <v>70</v>
      </c>
      <c r="D8" s="72">
        <v>1</v>
      </c>
      <c r="E8" s="17">
        <f>(U3*D8)</f>
        <v>47900</v>
      </c>
      <c r="F8" s="17">
        <v>47000</v>
      </c>
      <c r="G8" s="17">
        <v>0</v>
      </c>
      <c r="H8" s="18">
        <v>30000</v>
      </c>
      <c r="I8" s="17">
        <v>5000</v>
      </c>
      <c r="J8" s="18">
        <v>1000</v>
      </c>
      <c r="K8" s="18">
        <v>15000</v>
      </c>
      <c r="L8" s="19">
        <f t="shared" si="4"/>
        <v>145900</v>
      </c>
      <c r="M8" s="19">
        <v>215000</v>
      </c>
      <c r="N8" s="38">
        <f t="shared" si="0"/>
        <v>40850</v>
      </c>
      <c r="O8" s="38">
        <f t="shared" si="1"/>
        <v>8600</v>
      </c>
      <c r="P8" s="20">
        <f t="shared" si="2"/>
        <v>19650</v>
      </c>
      <c r="Q8" s="41">
        <f t="shared" si="3"/>
        <v>7.6802814148915377E-2</v>
      </c>
      <c r="R8" s="25"/>
      <c r="S8" s="25"/>
      <c r="U8" s="4"/>
    </row>
    <row r="9" spans="1:22" x14ac:dyDescent="0.25">
      <c r="A9" s="80"/>
      <c r="B9" s="42" t="s">
        <v>57</v>
      </c>
      <c r="C9" s="15" t="s">
        <v>72</v>
      </c>
      <c r="D9" s="72">
        <v>0.5</v>
      </c>
      <c r="E9" s="17">
        <f>(U3*D9)</f>
        <v>23950</v>
      </c>
      <c r="F9" s="17">
        <v>47000</v>
      </c>
      <c r="G9" s="17">
        <v>50000</v>
      </c>
      <c r="H9" s="18">
        <v>30000</v>
      </c>
      <c r="I9" s="17">
        <v>5000</v>
      </c>
      <c r="J9" s="18">
        <v>1000</v>
      </c>
      <c r="K9" s="18">
        <v>15000</v>
      </c>
      <c r="L9" s="19">
        <f t="shared" si="4"/>
        <v>171950</v>
      </c>
      <c r="M9" s="19">
        <v>250000</v>
      </c>
      <c r="N9" s="38">
        <f t="shared" si="0"/>
        <v>47500</v>
      </c>
      <c r="O9" s="38">
        <f t="shared" si="1"/>
        <v>10000</v>
      </c>
      <c r="P9" s="20">
        <f t="shared" si="2"/>
        <v>20550</v>
      </c>
      <c r="Q9" s="41">
        <f t="shared" si="3"/>
        <v>6.9075630252100839E-2</v>
      </c>
      <c r="R9" s="25"/>
      <c r="S9" s="68"/>
      <c r="U9" s="4"/>
    </row>
    <row r="10" spans="1:22" x14ac:dyDescent="0.25">
      <c r="A10" s="80"/>
      <c r="B10" s="42" t="s">
        <v>58</v>
      </c>
      <c r="C10" s="15" t="s">
        <v>71</v>
      </c>
      <c r="D10" s="72">
        <v>0.5</v>
      </c>
      <c r="E10" s="17">
        <f>(U3*D10)</f>
        <v>23950</v>
      </c>
      <c r="F10" s="17">
        <v>47000</v>
      </c>
      <c r="G10" s="17">
        <v>0</v>
      </c>
      <c r="H10" s="18">
        <v>30000</v>
      </c>
      <c r="I10" s="17">
        <v>5000</v>
      </c>
      <c r="J10" s="18">
        <v>1000</v>
      </c>
      <c r="K10" s="18">
        <v>15000</v>
      </c>
      <c r="L10" s="19">
        <f t="shared" si="4"/>
        <v>121950</v>
      </c>
      <c r="M10" s="19">
        <v>190000</v>
      </c>
      <c r="N10" s="38">
        <f t="shared" si="0"/>
        <v>36100</v>
      </c>
      <c r="O10" s="38">
        <f t="shared" si="1"/>
        <v>7600</v>
      </c>
      <c r="P10" s="20">
        <f t="shared" si="2"/>
        <v>24350</v>
      </c>
      <c r="Q10" s="41">
        <f t="shared" si="3"/>
        <v>0.10769570986289252</v>
      </c>
      <c r="R10" s="25"/>
      <c r="S10" s="68"/>
      <c r="U10" s="4"/>
    </row>
    <row r="11" spans="1:22" x14ac:dyDescent="0.25">
      <c r="A11" s="81"/>
      <c r="B11" s="26" t="s">
        <v>59</v>
      </c>
      <c r="C11" s="27" t="s">
        <v>73</v>
      </c>
      <c r="D11" s="72">
        <v>0.33</v>
      </c>
      <c r="E11" s="17">
        <f>(U3*D11)</f>
        <v>15807</v>
      </c>
      <c r="F11" s="17">
        <v>47000</v>
      </c>
      <c r="G11" s="17">
        <v>20000</v>
      </c>
      <c r="H11" s="51">
        <v>50000</v>
      </c>
      <c r="I11" s="17">
        <v>5000</v>
      </c>
      <c r="J11" s="18">
        <v>1000</v>
      </c>
      <c r="K11" s="18">
        <v>15000</v>
      </c>
      <c r="L11" s="19">
        <f t="shared" si="4"/>
        <v>153807</v>
      </c>
      <c r="M11" s="52">
        <v>225000</v>
      </c>
      <c r="N11" s="53">
        <f t="shared" si="0"/>
        <v>42750</v>
      </c>
      <c r="O11" s="38">
        <f t="shared" si="1"/>
        <v>9000</v>
      </c>
      <c r="P11" s="20">
        <f t="shared" si="2"/>
        <v>19443</v>
      </c>
      <c r="Q11" s="55">
        <f t="shared" si="3"/>
        <v>7.2616246498599435E-2</v>
      </c>
      <c r="R11" s="30"/>
      <c r="S11" s="69"/>
      <c r="U11" s="4"/>
    </row>
    <row r="12" spans="1:22" ht="21.75" customHeight="1" x14ac:dyDescent="0.25">
      <c r="A12" s="46"/>
      <c r="B12" s="56"/>
      <c r="C12" s="57"/>
      <c r="D12" s="58"/>
      <c r="E12" s="57"/>
      <c r="F12" s="57"/>
      <c r="G12" s="57"/>
      <c r="H12" s="57"/>
      <c r="I12" s="57"/>
      <c r="J12" s="57"/>
      <c r="K12" s="57"/>
      <c r="L12" s="57"/>
      <c r="M12" s="57"/>
      <c r="N12" s="59"/>
      <c r="O12" s="59"/>
      <c r="P12" s="60"/>
      <c r="Q12" s="61"/>
      <c r="R12" s="48"/>
      <c r="S12" s="48"/>
      <c r="U12" s="3">
        <v>16440</v>
      </c>
    </row>
    <row r="13" spans="1:22" ht="15" customHeight="1" x14ac:dyDescent="0.25">
      <c r="A13" s="76" t="s">
        <v>43</v>
      </c>
      <c r="B13" s="42" t="s">
        <v>60</v>
      </c>
      <c r="C13" s="2" t="s">
        <v>74</v>
      </c>
      <c r="D13" s="22">
        <v>2</v>
      </c>
      <c r="E13" s="43">
        <f>D13*U6</f>
        <v>73980</v>
      </c>
      <c r="F13" s="43">
        <v>70000</v>
      </c>
      <c r="G13" s="2" t="s">
        <v>45</v>
      </c>
      <c r="H13" s="45">
        <v>10000</v>
      </c>
      <c r="I13" s="43">
        <v>1000</v>
      </c>
      <c r="J13" s="45">
        <v>5000</v>
      </c>
      <c r="K13" s="18">
        <v>10000</v>
      </c>
      <c r="L13" s="44">
        <f>SUM(E13:K13)</f>
        <v>169980</v>
      </c>
      <c r="M13" s="44">
        <v>250000</v>
      </c>
      <c r="N13" s="38">
        <f>(M13*0.19)</f>
        <v>47500</v>
      </c>
      <c r="O13" s="38">
        <f>(M13*0.04)</f>
        <v>10000</v>
      </c>
      <c r="P13" s="20">
        <f>(M13)-(L13+N13+O13)</f>
        <v>22520</v>
      </c>
      <c r="Q13" s="41">
        <f t="shared" si="3"/>
        <v>7.5697478991596637E-2</v>
      </c>
      <c r="R13" s="25"/>
      <c r="S13" s="25"/>
      <c r="U13" s="4" t="s">
        <v>23</v>
      </c>
      <c r="V13" t="s">
        <v>22</v>
      </c>
    </row>
    <row r="14" spans="1:22" x14ac:dyDescent="0.25">
      <c r="A14" s="77"/>
      <c r="B14" s="42" t="s">
        <v>42</v>
      </c>
      <c r="C14" s="2" t="s">
        <v>75</v>
      </c>
      <c r="D14" s="22">
        <v>1</v>
      </c>
      <c r="E14" s="43">
        <f>D14*U6</f>
        <v>36990</v>
      </c>
      <c r="F14" s="43">
        <v>40000</v>
      </c>
      <c r="G14" s="43">
        <v>9000</v>
      </c>
      <c r="H14" s="45">
        <v>10000</v>
      </c>
      <c r="I14" s="43">
        <v>1000</v>
      </c>
      <c r="J14" s="45">
        <v>5000</v>
      </c>
      <c r="K14" s="18">
        <v>10000</v>
      </c>
      <c r="L14" s="44">
        <f>SUM(E14:K14)</f>
        <v>111990</v>
      </c>
      <c r="M14" s="44">
        <v>170000</v>
      </c>
      <c r="N14" s="38">
        <f t="shared" ref="N14:N17" si="5">(M14*0.19)</f>
        <v>32300</v>
      </c>
      <c r="O14" s="38">
        <f t="shared" ref="O14:O17" si="6">(M14*0.04)</f>
        <v>6800</v>
      </c>
      <c r="P14" s="20">
        <f t="shared" ref="P14:P17" si="7">(M14)-(L14+N14+O14)</f>
        <v>18910</v>
      </c>
      <c r="Q14" s="41">
        <f t="shared" si="3"/>
        <v>9.3475037073652997E-2</v>
      </c>
      <c r="R14" s="25"/>
      <c r="S14" s="25"/>
      <c r="U14" s="3">
        <v>2580</v>
      </c>
    </row>
    <row r="15" spans="1:22" x14ac:dyDescent="0.25">
      <c r="A15" s="77"/>
      <c r="B15" s="42" t="s">
        <v>49</v>
      </c>
      <c r="C15" s="2" t="s">
        <v>76</v>
      </c>
      <c r="D15" s="22">
        <v>0.25</v>
      </c>
      <c r="E15" s="43">
        <f>D15*U6</f>
        <v>9247.5</v>
      </c>
      <c r="F15" s="43">
        <v>30000</v>
      </c>
      <c r="G15" s="43">
        <v>10000</v>
      </c>
      <c r="H15" s="65">
        <v>10000</v>
      </c>
      <c r="I15" s="43">
        <v>1000</v>
      </c>
      <c r="J15" s="45">
        <v>5000</v>
      </c>
      <c r="K15" s="18">
        <v>10000</v>
      </c>
      <c r="L15" s="44">
        <f t="shared" ref="L15:L17" si="8">SUM(E15:K15)</f>
        <v>75247.5</v>
      </c>
      <c r="M15" s="44">
        <v>150000</v>
      </c>
      <c r="N15" s="38">
        <f t="shared" si="5"/>
        <v>28500</v>
      </c>
      <c r="O15" s="38">
        <f t="shared" si="6"/>
        <v>6000</v>
      </c>
      <c r="P15" s="20">
        <f t="shared" si="7"/>
        <v>40252.5</v>
      </c>
      <c r="Q15" s="41">
        <f t="shared" si="3"/>
        <v>0.22550420168067226</v>
      </c>
      <c r="R15" s="25"/>
      <c r="S15" s="25"/>
      <c r="U15" s="4" t="s">
        <v>53</v>
      </c>
      <c r="V15" t="s">
        <v>22</v>
      </c>
    </row>
    <row r="16" spans="1:22" x14ac:dyDescent="0.25">
      <c r="A16" s="77"/>
      <c r="B16" s="42" t="s">
        <v>51</v>
      </c>
      <c r="C16" s="15" t="s">
        <v>77</v>
      </c>
      <c r="D16" s="22">
        <v>0.2</v>
      </c>
      <c r="E16" s="17">
        <f>D16*U6</f>
        <v>7398</v>
      </c>
      <c r="F16" s="43">
        <v>30000</v>
      </c>
      <c r="G16" s="17">
        <v>3000</v>
      </c>
      <c r="H16" s="45">
        <v>10000</v>
      </c>
      <c r="I16" s="17">
        <v>1000</v>
      </c>
      <c r="J16" s="45">
        <v>5000</v>
      </c>
      <c r="K16" s="18">
        <v>10000</v>
      </c>
      <c r="L16" s="19">
        <f t="shared" si="8"/>
        <v>66398</v>
      </c>
      <c r="M16" s="19">
        <v>100000</v>
      </c>
      <c r="N16" s="38">
        <f t="shared" si="5"/>
        <v>19000</v>
      </c>
      <c r="O16" s="38">
        <f t="shared" si="6"/>
        <v>4000</v>
      </c>
      <c r="P16" s="20">
        <f t="shared" si="7"/>
        <v>10602</v>
      </c>
      <c r="Q16" s="41">
        <f t="shared" si="3"/>
        <v>8.9092436974789913E-2</v>
      </c>
      <c r="R16" s="25"/>
      <c r="S16" s="25"/>
    </row>
    <row r="17" spans="1:19" x14ac:dyDescent="0.25">
      <c r="A17" s="78"/>
      <c r="B17" s="67" t="s">
        <v>50</v>
      </c>
      <c r="C17" s="27" t="s">
        <v>78</v>
      </c>
      <c r="D17" s="62">
        <v>0.33</v>
      </c>
      <c r="E17" s="17">
        <f>D17*U6</f>
        <v>12206.7</v>
      </c>
      <c r="F17" s="43">
        <v>40000</v>
      </c>
      <c r="G17" s="50">
        <v>5000</v>
      </c>
      <c r="H17" s="45">
        <v>10000</v>
      </c>
      <c r="I17" s="17">
        <v>1000</v>
      </c>
      <c r="J17" s="45">
        <v>5000</v>
      </c>
      <c r="K17" s="18">
        <v>10000</v>
      </c>
      <c r="L17" s="19">
        <f t="shared" si="8"/>
        <v>83206.7</v>
      </c>
      <c r="M17" s="52">
        <v>150000</v>
      </c>
      <c r="N17" s="53">
        <f t="shared" si="5"/>
        <v>28500</v>
      </c>
      <c r="O17" s="38">
        <f t="shared" si="6"/>
        <v>6000</v>
      </c>
      <c r="P17" s="20">
        <f t="shared" si="7"/>
        <v>32293.300000000003</v>
      </c>
      <c r="Q17" s="55">
        <f t="shared" si="3"/>
        <v>0.18091484593837537</v>
      </c>
      <c r="R17" s="30"/>
      <c r="S17" s="30"/>
    </row>
    <row r="18" spans="1:19" ht="26.25" customHeight="1" x14ac:dyDescent="0.25">
      <c r="A18" s="46"/>
      <c r="B18" s="56"/>
      <c r="C18" s="57"/>
      <c r="D18" s="58"/>
      <c r="E18" s="57"/>
      <c r="F18" s="57"/>
      <c r="G18" s="57"/>
      <c r="H18" s="57"/>
      <c r="I18" s="57"/>
      <c r="J18" s="57"/>
      <c r="K18" s="57"/>
      <c r="L18" s="57"/>
      <c r="M18" s="57"/>
      <c r="N18" s="59"/>
      <c r="O18" s="59"/>
      <c r="P18" s="60"/>
      <c r="Q18" s="61"/>
      <c r="R18" s="48"/>
      <c r="S18" s="48"/>
    </row>
    <row r="19" spans="1:19" ht="15" customHeight="1" x14ac:dyDescent="0.25">
      <c r="A19" s="82" t="s">
        <v>61</v>
      </c>
      <c r="B19" s="14" t="s">
        <v>62</v>
      </c>
      <c r="C19" s="15" t="s">
        <v>79</v>
      </c>
      <c r="D19" s="16" t="s">
        <v>19</v>
      </c>
      <c r="E19" s="17">
        <v>15000</v>
      </c>
      <c r="F19" s="17">
        <v>15000</v>
      </c>
      <c r="G19" s="17">
        <v>38700</v>
      </c>
      <c r="H19" s="18">
        <v>10000</v>
      </c>
      <c r="I19" s="17">
        <v>5000</v>
      </c>
      <c r="J19" s="18">
        <v>1000</v>
      </c>
      <c r="K19" s="18">
        <v>15000</v>
      </c>
      <c r="L19" s="19">
        <f>SUM(E19:K19)</f>
        <v>99700</v>
      </c>
      <c r="M19" s="19">
        <v>175000</v>
      </c>
      <c r="N19" s="38">
        <f t="shared" si="0"/>
        <v>33250</v>
      </c>
      <c r="O19" s="38">
        <f t="shared" ref="O19:O26" si="9">(M19*0.04)</f>
        <v>7000</v>
      </c>
      <c r="P19" s="20">
        <f t="shared" ref="P19:P21" si="10">(M19)-(L19+N19+O19)</f>
        <v>35050</v>
      </c>
      <c r="Q19" s="41">
        <f t="shared" si="3"/>
        <v>0.16830732292917167</v>
      </c>
      <c r="R19" s="25"/>
      <c r="S19" s="25"/>
    </row>
    <row r="20" spans="1:19" x14ac:dyDescent="0.25">
      <c r="A20" s="83"/>
      <c r="B20" s="14" t="s">
        <v>64</v>
      </c>
      <c r="C20" s="15" t="s">
        <v>81</v>
      </c>
      <c r="D20" s="16" t="s">
        <v>19</v>
      </c>
      <c r="E20" s="17">
        <v>5000</v>
      </c>
      <c r="F20" s="17">
        <v>15000</v>
      </c>
      <c r="G20" s="17">
        <v>23860</v>
      </c>
      <c r="H20" s="18">
        <v>15000</v>
      </c>
      <c r="I20" s="17">
        <v>5000</v>
      </c>
      <c r="J20" s="18">
        <v>1000</v>
      </c>
      <c r="K20" s="18">
        <v>15000</v>
      </c>
      <c r="L20" s="19">
        <f>SUM(E20:K20)</f>
        <v>79860</v>
      </c>
      <c r="M20" s="19">
        <v>150000</v>
      </c>
      <c r="N20" s="38">
        <f t="shared" si="0"/>
        <v>28500</v>
      </c>
      <c r="O20" s="38">
        <f t="shared" si="9"/>
        <v>6000</v>
      </c>
      <c r="P20" s="20">
        <f t="shared" si="10"/>
        <v>35640</v>
      </c>
      <c r="Q20" s="41">
        <f t="shared" si="3"/>
        <v>0.19966386554621848</v>
      </c>
      <c r="R20" s="25"/>
      <c r="S20" s="25"/>
    </row>
    <row r="21" spans="1:19" x14ac:dyDescent="0.25">
      <c r="A21" s="83"/>
      <c r="B21" s="49" t="s">
        <v>63</v>
      </c>
      <c r="C21" s="27" t="s">
        <v>80</v>
      </c>
      <c r="D21" s="28" t="s">
        <v>19</v>
      </c>
      <c r="E21" s="50">
        <v>5000</v>
      </c>
      <c r="F21" s="50">
        <v>15000</v>
      </c>
      <c r="G21" s="50">
        <v>26860</v>
      </c>
      <c r="H21" s="51">
        <v>15000</v>
      </c>
      <c r="I21" s="50">
        <v>5000</v>
      </c>
      <c r="J21" s="18">
        <v>1000</v>
      </c>
      <c r="K21" s="51">
        <v>15000</v>
      </c>
      <c r="L21" s="52">
        <f>SUM(E21:K21)</f>
        <v>82860</v>
      </c>
      <c r="M21" s="52">
        <v>125000</v>
      </c>
      <c r="N21" s="53">
        <f t="shared" si="0"/>
        <v>23750</v>
      </c>
      <c r="O21" s="38">
        <f t="shared" si="9"/>
        <v>5000</v>
      </c>
      <c r="P21" s="20">
        <f t="shared" si="10"/>
        <v>13390</v>
      </c>
      <c r="Q21" s="55">
        <f t="shared" si="3"/>
        <v>9.001680672268908E-2</v>
      </c>
      <c r="R21" s="30"/>
      <c r="S21" s="30"/>
    </row>
    <row r="22" spans="1:19" ht="15" customHeight="1" x14ac:dyDescent="0.25">
      <c r="A22" s="83"/>
      <c r="B22" s="14" t="s">
        <v>16</v>
      </c>
      <c r="C22" s="15" t="s">
        <v>82</v>
      </c>
      <c r="D22" s="21">
        <v>0.5</v>
      </c>
      <c r="E22" s="17">
        <f>(U4*D22)</f>
        <v>37450</v>
      </c>
      <c r="F22" s="17">
        <v>11900</v>
      </c>
      <c r="G22" s="17">
        <v>70000</v>
      </c>
      <c r="H22" s="70">
        <v>10000</v>
      </c>
      <c r="I22" s="17">
        <v>5000</v>
      </c>
      <c r="J22" s="18">
        <v>1000</v>
      </c>
      <c r="K22" s="18">
        <v>15000</v>
      </c>
      <c r="L22" s="19">
        <f>SUM(E22:K22)</f>
        <v>150350</v>
      </c>
      <c r="M22" s="19">
        <v>300000</v>
      </c>
      <c r="N22" s="38">
        <f>(M22*0.19)</f>
        <v>57000</v>
      </c>
      <c r="O22" s="38">
        <f t="shared" si="9"/>
        <v>12000</v>
      </c>
      <c r="P22" s="20">
        <f>(M22)-(L22+N22+O22)</f>
        <v>80650</v>
      </c>
      <c r="Q22" s="41">
        <f>P22/(M22+N22)</f>
        <v>0.22591036414565827</v>
      </c>
      <c r="R22" s="25"/>
      <c r="S22" s="25"/>
    </row>
    <row r="23" spans="1:19" x14ac:dyDescent="0.25">
      <c r="A23" s="83"/>
      <c r="B23" s="14" t="s">
        <v>26</v>
      </c>
      <c r="C23" s="15" t="s">
        <v>83</v>
      </c>
      <c r="D23" s="16" t="s">
        <v>19</v>
      </c>
      <c r="E23" s="17">
        <f>(U14*2+U12)</f>
        <v>21600</v>
      </c>
      <c r="F23" s="17">
        <v>3990</v>
      </c>
      <c r="G23" s="17">
        <v>50000</v>
      </c>
      <c r="H23" s="70">
        <v>100000</v>
      </c>
      <c r="I23" s="17">
        <v>5000</v>
      </c>
      <c r="J23" s="18">
        <v>1000</v>
      </c>
      <c r="K23" s="18">
        <v>15000</v>
      </c>
      <c r="L23" s="19">
        <f>SUM(E23:K23)</f>
        <v>196590</v>
      </c>
      <c r="M23" s="19">
        <v>350000</v>
      </c>
      <c r="N23" s="38">
        <f>(M23*0.19)</f>
        <v>66500</v>
      </c>
      <c r="O23" s="38">
        <f t="shared" si="9"/>
        <v>14000</v>
      </c>
      <c r="P23" s="20">
        <f t="shared" ref="P23:P26" si="11">(M23)-(L23+N23+O23)</f>
        <v>72910</v>
      </c>
      <c r="Q23" s="41">
        <f>P23/(M23+N23)</f>
        <v>0.17505402160864345</v>
      </c>
      <c r="R23" s="25"/>
      <c r="S23" s="25"/>
    </row>
    <row r="24" spans="1:19" x14ac:dyDescent="0.25">
      <c r="A24" s="83"/>
      <c r="B24" s="14"/>
      <c r="C24" s="15"/>
      <c r="D24" s="16"/>
      <c r="E24" s="15"/>
      <c r="F24" s="13" t="s">
        <v>24</v>
      </c>
      <c r="G24" s="13"/>
      <c r="H24" s="15"/>
      <c r="I24" s="17"/>
      <c r="J24" s="71"/>
      <c r="K24" s="17"/>
      <c r="L24" s="13"/>
      <c r="M24" s="13"/>
      <c r="N24" s="38"/>
      <c r="O24" s="38">
        <f t="shared" si="9"/>
        <v>0</v>
      </c>
      <c r="P24" s="20"/>
      <c r="Q24" s="41"/>
      <c r="R24" s="25"/>
      <c r="S24" s="25"/>
    </row>
    <row r="25" spans="1:19" x14ac:dyDescent="0.25">
      <c r="A25" s="83"/>
      <c r="B25" s="24" t="s">
        <v>17</v>
      </c>
      <c r="C25" s="15" t="s">
        <v>84</v>
      </c>
      <c r="D25" s="22">
        <v>1</v>
      </c>
      <c r="E25" s="17">
        <f>(U6)</f>
        <v>36990</v>
      </c>
      <c r="F25" s="17">
        <v>40000</v>
      </c>
      <c r="G25" s="17">
        <v>20000</v>
      </c>
      <c r="H25" s="18">
        <v>40000</v>
      </c>
      <c r="I25" s="17">
        <v>5000</v>
      </c>
      <c r="J25" s="18">
        <v>1000</v>
      </c>
      <c r="K25" s="18">
        <v>15000</v>
      </c>
      <c r="L25" s="19">
        <f>SUM(E25:K25)</f>
        <v>157990</v>
      </c>
      <c r="M25" s="19">
        <v>250000</v>
      </c>
      <c r="N25" s="38">
        <f>(M25*0.19)</f>
        <v>47500</v>
      </c>
      <c r="O25" s="38">
        <f t="shared" si="9"/>
        <v>10000</v>
      </c>
      <c r="P25" s="20">
        <f t="shared" si="11"/>
        <v>34510</v>
      </c>
      <c r="Q25" s="41">
        <f>P25/(M25+N25)</f>
        <v>0.11600000000000001</v>
      </c>
      <c r="R25" s="25"/>
      <c r="S25" s="25"/>
    </row>
    <row r="26" spans="1:19" x14ac:dyDescent="0.25">
      <c r="A26" s="84"/>
      <c r="B26" s="49" t="s">
        <v>52</v>
      </c>
      <c r="C26" s="27" t="s">
        <v>85</v>
      </c>
      <c r="D26" s="62">
        <v>1</v>
      </c>
      <c r="E26" s="50">
        <f>(U6)</f>
        <v>36990</v>
      </c>
      <c r="F26" s="50">
        <v>40000</v>
      </c>
      <c r="G26" s="50">
        <v>0</v>
      </c>
      <c r="H26" s="50">
        <v>20000</v>
      </c>
      <c r="I26" s="50">
        <v>5000</v>
      </c>
      <c r="J26" s="51">
        <v>1000</v>
      </c>
      <c r="K26" s="51">
        <v>15000</v>
      </c>
      <c r="L26" s="52">
        <f>SUM(E26:K26)</f>
        <v>117990</v>
      </c>
      <c r="M26" s="52">
        <v>200000</v>
      </c>
      <c r="N26" s="53">
        <f>(M26*0.19)</f>
        <v>38000</v>
      </c>
      <c r="O26" s="53">
        <f t="shared" si="9"/>
        <v>8000</v>
      </c>
      <c r="P26" s="54">
        <f t="shared" si="11"/>
        <v>36010</v>
      </c>
      <c r="Q26" s="41">
        <f>P26/(M26+N26)</f>
        <v>0.15130252100840336</v>
      </c>
      <c r="R26" s="30"/>
      <c r="S26" s="69"/>
    </row>
    <row r="27" spans="1:19" ht="26.1" customHeight="1" x14ac:dyDescent="0.25">
      <c r="B27" s="26"/>
      <c r="C27" s="27"/>
      <c r="D27" s="28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9"/>
      <c r="Q27" s="63"/>
      <c r="R27" s="30"/>
      <c r="S27" s="30"/>
    </row>
    <row r="28" spans="1:19" x14ac:dyDescent="0.25">
      <c r="A28" s="73" t="s">
        <v>35</v>
      </c>
      <c r="B28" s="14" t="s">
        <v>28</v>
      </c>
      <c r="C28" s="15"/>
      <c r="D28" s="16"/>
      <c r="E28" s="15"/>
      <c r="F28" s="15"/>
      <c r="G28" s="15"/>
      <c r="H28" s="15"/>
      <c r="I28" s="15"/>
      <c r="J28" s="15"/>
      <c r="K28" s="15"/>
      <c r="L28" s="15"/>
      <c r="M28" s="15"/>
      <c r="N28" s="39"/>
      <c r="O28" s="39"/>
      <c r="P28" s="23"/>
      <c r="Q28" s="23"/>
      <c r="R28" s="25"/>
      <c r="S28" s="25"/>
    </row>
    <row r="29" spans="1:19" x14ac:dyDescent="0.25">
      <c r="A29" s="74"/>
      <c r="B29" s="14" t="s">
        <v>31</v>
      </c>
      <c r="C29" s="15"/>
      <c r="D29" s="16"/>
      <c r="E29" s="15"/>
      <c r="F29" s="15"/>
      <c r="G29" s="15"/>
      <c r="H29" s="15"/>
      <c r="I29" s="15"/>
      <c r="J29" s="15"/>
      <c r="K29" s="15"/>
      <c r="L29" s="15"/>
      <c r="M29" s="15"/>
      <c r="N29" s="39"/>
      <c r="O29" s="39"/>
      <c r="P29" s="23"/>
      <c r="Q29" s="23"/>
      <c r="R29" s="25"/>
      <c r="S29" s="25"/>
    </row>
    <row r="30" spans="1:19" x14ac:dyDescent="0.25">
      <c r="A30" s="74"/>
      <c r="B30" s="14" t="s">
        <v>29</v>
      </c>
      <c r="C30" s="15"/>
      <c r="D30" s="16"/>
      <c r="E30" s="15"/>
      <c r="F30" s="15"/>
      <c r="G30" s="15"/>
      <c r="H30" s="15"/>
      <c r="I30" s="15"/>
      <c r="J30" s="15"/>
      <c r="K30" s="15"/>
      <c r="L30" s="15"/>
      <c r="M30" s="15"/>
      <c r="N30" s="39"/>
      <c r="O30" s="39"/>
      <c r="P30" s="23"/>
      <c r="Q30" s="23"/>
      <c r="R30" s="25"/>
      <c r="S30" s="25"/>
    </row>
    <row r="31" spans="1:19" x14ac:dyDescent="0.25">
      <c r="A31" s="74"/>
      <c r="B31" s="14" t="s">
        <v>30</v>
      </c>
      <c r="C31" s="15"/>
      <c r="D31" s="16"/>
      <c r="E31" s="15"/>
      <c r="F31" s="15"/>
      <c r="G31" s="15"/>
      <c r="H31" s="15"/>
      <c r="I31" s="15"/>
      <c r="J31" s="15"/>
      <c r="K31" s="15"/>
      <c r="L31" s="15"/>
      <c r="M31" s="15"/>
      <c r="N31" s="39"/>
      <c r="O31" s="39"/>
      <c r="P31" s="23"/>
      <c r="Q31" s="23"/>
      <c r="R31" s="25"/>
      <c r="S31" s="25"/>
    </row>
    <row r="32" spans="1:19" x14ac:dyDescent="0.25">
      <c r="A32" s="74"/>
      <c r="B32" s="14" t="s">
        <v>34</v>
      </c>
      <c r="C32" s="15"/>
      <c r="D32" s="16"/>
      <c r="E32" s="15"/>
      <c r="F32" s="15"/>
      <c r="G32" s="15"/>
      <c r="H32" s="15"/>
      <c r="I32" s="15"/>
      <c r="J32" s="15"/>
      <c r="K32" s="15"/>
      <c r="L32" s="15"/>
      <c r="M32" s="15"/>
      <c r="N32" s="39"/>
      <c r="O32" s="39"/>
      <c r="P32" s="23"/>
      <c r="Q32" s="23"/>
      <c r="R32" s="25"/>
      <c r="S32" s="25"/>
    </row>
    <row r="33" spans="1:19" x14ac:dyDescent="0.25">
      <c r="A33" s="74"/>
      <c r="B33" s="14" t="s">
        <v>32</v>
      </c>
      <c r="C33" s="15"/>
      <c r="D33" s="16"/>
      <c r="E33" s="15"/>
      <c r="F33" s="15"/>
      <c r="G33" s="15"/>
      <c r="H33" s="15"/>
      <c r="I33" s="15"/>
      <c r="J33" s="15"/>
      <c r="K33" s="15"/>
      <c r="L33" s="15"/>
      <c r="M33" s="15"/>
      <c r="N33" s="39"/>
      <c r="O33" s="39"/>
      <c r="P33" s="23"/>
      <c r="Q33" s="23"/>
      <c r="R33" s="25"/>
      <c r="S33" s="25"/>
    </row>
    <row r="34" spans="1:19" x14ac:dyDescent="0.25">
      <c r="A34" s="74"/>
      <c r="B34" s="26" t="s">
        <v>33</v>
      </c>
      <c r="C34" s="27"/>
      <c r="D34" s="28"/>
      <c r="E34" s="27"/>
      <c r="F34" s="27"/>
      <c r="G34" s="27"/>
      <c r="H34" s="27"/>
      <c r="I34" s="27"/>
      <c r="J34" s="27"/>
      <c r="K34" s="27"/>
      <c r="L34" s="27"/>
      <c r="M34" s="27"/>
      <c r="N34" s="40"/>
      <c r="O34" s="40"/>
      <c r="P34" s="29"/>
      <c r="Q34" s="29"/>
      <c r="R34" s="30"/>
      <c r="S34" s="30"/>
    </row>
  </sheetData>
  <mergeCells count="5">
    <mergeCell ref="A28:A34"/>
    <mergeCell ref="A1:S1"/>
    <mergeCell ref="A13:A17"/>
    <mergeCell ref="A3:A11"/>
    <mergeCell ref="A19:A26"/>
  </mergeCells>
  <pageMargins left="0.7" right="0.7" top="0.75" bottom="0.75" header="0.3" footer="0.3"/>
  <pageSetup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Matus</dc:creator>
  <cp:lastModifiedBy>Gonzalo Matus</cp:lastModifiedBy>
  <dcterms:created xsi:type="dcterms:W3CDTF">2026-05-07T20:18:16Z</dcterms:created>
  <dcterms:modified xsi:type="dcterms:W3CDTF">2026-07-02T01:48:22Z</dcterms:modified>
</cp:coreProperties>
</file>